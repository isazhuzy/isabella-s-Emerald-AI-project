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ecision Matrix" sheetId="2" state="visible" r:id="rId2"/>
    <sheet name="Transcription — Capabilities" sheetId="3" state="visible" r:id="rId3"/>
    <sheet name="Pricing — Per Seat" sheetId="4" state="visible" r:id="rId4"/>
    <sheet name="Pricing — Usage-Based" sheetId="5" state="visible" r:id="rId5"/>
    <sheet name="Cost Scenario" sheetId="6" state="visible" r:id="rId6"/>
    <sheet name="Sourcing — Capabilities" sheetId="7" state="visible" r:id="rId7"/>
    <sheet name="30-Day Rollou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.0000"/>
    <numFmt numFmtId="166" formatCode="$#,##0"/>
  </numFmts>
  <fonts count="9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FF3F8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left" vertical="top" wrapText="1"/>
    </xf>
    <xf numFmtId="0" fontId="5" fillId="0" borderId="0" pivotButton="0" quotePrefix="0" xfId="0"/>
    <xf numFmtId="0" fontId="4" fillId="0" borderId="0" pivotButton="0" quotePrefix="0" xfId="0"/>
    <xf numFmtId="0" fontId="4" fillId="0" borderId="1" pivotButton="0" quotePrefix="0" xfId="0"/>
    <xf numFmtId="9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4" borderId="1" pivotButton="0" quotePrefix="0" xfId="0"/>
    <xf numFmtId="9" fontId="7" fillId="4" borderId="1" applyAlignment="1" pivotButton="0" quotePrefix="0" xfId="0">
      <alignment horizontal="center" vertical="center"/>
    </xf>
    <xf numFmtId="2" fontId="8" fillId="5" borderId="1" applyAlignment="1" pivotButton="0" quotePrefix="0" xfId="0">
      <alignment horizontal="center" vertical="center"/>
    </xf>
    <xf numFmtId="2" fontId="8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3" fillId="2" borderId="1" pivotButton="0" quotePrefix="0" xfId="0"/>
    <xf numFmtId="166" fontId="7" fillId="0" borderId="1" applyAlignment="1" pivotButton="0" quotePrefix="0" xfId="0">
      <alignment horizontal="center" vertical="center"/>
    </xf>
    <xf numFmtId="0" fontId="4" fillId="3" borderId="1" pivotButton="0" quotePrefix="0" xfId="0"/>
    <xf numFmtId="166" fontId="7" fillId="3" borderId="1" applyAlignment="1" pivotButton="0" quotePrefix="0" xfId="0">
      <alignment horizontal="center" vertical="center"/>
    </xf>
    <xf numFmtId="166" fontId="8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" t="inlineStr">
        <is>
          <t>Transcription Tools — Comparison &amp; Costs</t>
        </is>
      </c>
    </row>
    <row r="2">
      <c r="A2" s="2" t="inlineStr">
        <is>
          <t>Capture layer for the Emerald → Claude → Loxo pipeline · June 2026 · figures vendor-reported, verify</t>
        </is>
      </c>
    </row>
    <row r="4">
      <c r="A4" s="3" t="n"/>
      <c r="B4" s="3" t="n"/>
    </row>
    <row r="5">
      <c r="A5" s="4" t="inlineStr">
        <is>
          <t>Recommendation</t>
        </is>
      </c>
      <c r="B5" s="5" t="inlineStr">
        <is>
          <t>Fireflies.ai (Business) for capture + Ringover for cell intake</t>
        </is>
      </c>
    </row>
    <row r="6">
      <c r="A6" s="6" t="inlineStr">
        <is>
          <t>All-in cost (5 recruiters)</t>
        </is>
      </c>
      <c r="B6" s="7" t="inlineStr">
        <is>
          <t>~$200 / month, no custom engineering</t>
        </is>
      </c>
    </row>
    <row r="7">
      <c r="A7" s="4" t="inlineStr">
        <is>
          <t>Why Fireflies</t>
        </is>
      </c>
      <c r="B7" s="5" t="inlineStr">
        <is>
          <t>Only requested tool doing Zoom + cell (via dialer) + a webhook to feed Emerald</t>
        </is>
      </c>
    </row>
    <row r="8">
      <c r="A8" s="6" t="inlineStr">
        <is>
          <t>Don't rely on</t>
        </is>
      </c>
      <c r="B8" s="7" t="inlineStr">
        <is>
          <t>Fathom for cell (has none); Otter unless on Enterprise (API-gated)</t>
        </is>
      </c>
    </row>
    <row r="9">
      <c r="A9" s="4" t="inlineStr">
        <is>
          <t>Verify before buying</t>
        </is>
      </c>
      <c r="B9" s="5" t="inlineStr">
        <is>
          <t>Tier includes full-transcript webhook; call-recording consent laws</t>
        </is>
      </c>
    </row>
    <row r="11">
      <c r="A11" s="8" t="inlineStr">
        <is>
          <t>Sheets in this workbook:</t>
        </is>
      </c>
    </row>
    <row r="12">
      <c r="A12" s="9" t="inlineStr">
        <is>
          <t xml:space="preserve">  1. Decision Matrix (weighted, live formulas)</t>
        </is>
      </c>
    </row>
    <row r="13">
      <c r="A13" s="9" t="inlineStr">
        <is>
          <t xml:space="preserve">  2. Transcription — Capabilities</t>
        </is>
      </c>
    </row>
    <row r="14">
      <c r="A14" s="9" t="inlineStr">
        <is>
          <t xml:space="preserve">  3. Pricing — Per Seat</t>
        </is>
      </c>
    </row>
    <row r="15">
      <c r="A15" s="9" t="inlineStr">
        <is>
          <t xml:space="preserve">  4. Pricing — Usage-Based</t>
        </is>
      </c>
    </row>
    <row r="16">
      <c r="A16" s="9" t="inlineStr">
        <is>
          <t xml:space="preserve">  5. Cost Scenario (live formulas)</t>
        </is>
      </c>
    </row>
    <row r="17">
      <c r="A17" s="9" t="inlineStr">
        <is>
          <t xml:space="preserve">  6. Sourcing — Capabilities (Part 1)</t>
        </is>
      </c>
    </row>
    <row r="18">
      <c r="A18" s="9" t="inlineStr">
        <is>
          <t xml:space="preserve">  7. 30-Day Rollout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Decision Matrix (weighted)</t>
        </is>
      </c>
    </row>
    <row r="2">
      <c r="A2" s="2" t="inlineStr">
        <is>
          <t>Blue = editable inputs (weights &amp; scores 1–5). Totals are live formulas (SUMPRODUCT).</t>
        </is>
      </c>
    </row>
    <row r="4">
      <c r="A4" s="3" t="n"/>
      <c r="B4" s="3" t="n"/>
      <c r="C4" s="3" t="n"/>
      <c r="D4" s="3" t="n"/>
      <c r="E4" s="3" t="n"/>
      <c r="F4" s="3" t="n"/>
    </row>
    <row r="5">
      <c r="A5" s="10" t="inlineStr">
        <is>
          <t>Cell / phone coverage</t>
        </is>
      </c>
      <c r="B5" s="11" t="n">
        <v>0.3</v>
      </c>
      <c r="C5" s="12" t="n">
        <v>4</v>
      </c>
      <c r="D5" s="12" t="n">
        <v>2</v>
      </c>
      <c r="E5" s="12" t="n">
        <v>1</v>
      </c>
      <c r="F5" s="12" t="n">
        <v>2</v>
      </c>
    </row>
    <row r="6">
      <c r="A6" s="10" t="inlineStr">
        <is>
          <t>Zoom coverage</t>
        </is>
      </c>
      <c r="B6" s="11" t="n">
        <v>0.2</v>
      </c>
      <c r="C6" s="12" t="n">
        <v>5</v>
      </c>
      <c r="D6" s="12" t="n">
        <v>5</v>
      </c>
      <c r="E6" s="12" t="n">
        <v>5</v>
      </c>
      <c r="F6" s="12" t="n">
        <v>5</v>
      </c>
    </row>
    <row r="7">
      <c r="A7" s="10" t="inlineStr">
        <is>
          <t>Automation / API fit</t>
        </is>
      </c>
      <c r="B7" s="11" t="n">
        <v>0.25</v>
      </c>
      <c r="C7" s="12" t="n">
        <v>5</v>
      </c>
      <c r="D7" s="12" t="n">
        <v>2</v>
      </c>
      <c r="E7" s="12" t="n">
        <v>5</v>
      </c>
      <c r="F7" s="12" t="n">
        <v>5</v>
      </c>
    </row>
    <row r="8">
      <c r="A8" s="10" t="inlineStr">
        <is>
          <t>Cost</t>
        </is>
      </c>
      <c r="B8" s="11" t="n">
        <v>0.15</v>
      </c>
      <c r="C8" s="12" t="n">
        <v>4</v>
      </c>
      <c r="D8" s="12" t="n">
        <v>3</v>
      </c>
      <c r="E8" s="12" t="n">
        <v>5</v>
      </c>
      <c r="F8" s="12" t="n">
        <v>4</v>
      </c>
    </row>
    <row r="9">
      <c r="A9" s="10" t="inlineStr">
        <is>
          <t>Diarization / quality</t>
        </is>
      </c>
      <c r="B9" s="11" t="n">
        <v>0.1</v>
      </c>
      <c r="C9" s="12" t="n">
        <v>4</v>
      </c>
      <c r="D9" s="12" t="n">
        <v>4</v>
      </c>
      <c r="E9" s="12" t="n">
        <v>4</v>
      </c>
      <c r="F9" s="12" t="n">
        <v>5</v>
      </c>
    </row>
    <row r="10">
      <c r="A10" s="13" t="inlineStr">
        <is>
          <t>Weighted total</t>
        </is>
      </c>
      <c r="B10" s="14">
        <f>SUM(B5:B9)</f>
        <v/>
      </c>
      <c r="C10" s="15">
        <f>SUMPRODUCT($B$5:$B$9,C5:C9)</f>
        <v/>
      </c>
      <c r="D10" s="16">
        <f>SUMPRODUCT($B$5:$B$9,D5:D9)</f>
        <v/>
      </c>
      <c r="E10" s="16">
        <f>SUMPRODUCT($B$5:$B$9,E5:E9)</f>
        <v/>
      </c>
      <c r="F10" s="16">
        <f>SUMPRODUCT($B$5:$B$9,F5:F9)</f>
        <v/>
      </c>
    </row>
    <row r="12">
      <c r="A12" s="2" t="inlineStr">
        <is>
          <t>Read: Fireflies wins on the combination that matters (cell + automation). Recall.ai is build-your-own infra; Fathom is capped by cell=1; Otter trails on the API gate.</t>
        </is>
      </c>
    </row>
  </sheetData>
  <mergeCells count="3">
    <mergeCell ref="A2:F2"/>
    <mergeCell ref="A1:F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6" customWidth="1" min="3" max="3"/>
    <col width="26" customWidth="1" min="4" max="4"/>
    <col width="28" customWidth="1" min="5" max="5"/>
  </cols>
  <sheetData>
    <row r="1">
      <c r="A1" s="1" t="inlineStr">
        <is>
          <t>Transcription tools — capabilities</t>
        </is>
      </c>
    </row>
    <row r="2">
      <c r="A2" s="2" t="inlineStr">
        <is>
          <t>✅ yes · ⚠️ partial/caveat · ❌ no</t>
        </is>
      </c>
    </row>
    <row r="4">
      <c r="A4" s="3" t="n"/>
      <c r="B4" s="3" t="n"/>
      <c r="C4" s="3" t="n"/>
      <c r="D4" s="3" t="n"/>
      <c r="E4" s="3" t="n"/>
    </row>
    <row r="5">
      <c r="A5" s="4" t="inlineStr">
        <is>
          <t>Zoom / Meet / Teams</t>
        </is>
      </c>
      <c r="B5" s="5" t="inlineStr">
        <is>
          <t>✅ bot auto-joins</t>
        </is>
      </c>
      <c r="C5" s="5" t="inlineStr">
        <is>
          <t>✅ bot auto-joins</t>
        </is>
      </c>
      <c r="D5" s="5" t="inlineStr">
        <is>
          <t>✅ bot auto-joins</t>
        </is>
      </c>
      <c r="E5" s="5" t="inlineStr">
        <is>
          <t>✅ widest coverage</t>
        </is>
      </c>
    </row>
    <row r="6">
      <c r="A6" s="6" t="inlineStr">
        <is>
          <t>Cell / phone calls</t>
        </is>
      </c>
      <c r="B6" s="7" t="inlineStr">
        <is>
          <t>✅ via dialer (ZoomPhone, RingCentral, OpenPhone, Aircall) + mobile</t>
        </is>
      </c>
      <c r="C6" s="7" t="inlineStr">
        <is>
          <t>⚠️ mobile / Zoom Phone only; not arbitrary cellular</t>
        </is>
      </c>
      <c r="D6" s="7" t="inlineStr">
        <is>
          <t>❌ none (no mobile app)</t>
        </is>
      </c>
      <c r="E6" s="7" t="inlineStr">
        <is>
          <t>⚠️ meeting-centric; pair with telephony</t>
        </is>
      </c>
    </row>
    <row r="7">
      <c r="A7" s="4" t="inlineStr">
        <is>
          <t>API for automation</t>
        </is>
      </c>
      <c r="B7" s="5" t="inlineStr">
        <is>
          <t>✅ GraphQL + webhooks (paid tiers)</t>
        </is>
      </c>
      <c r="C7" s="5" t="inlineStr">
        <is>
          <t>⚠️ API &amp; webhooks Enterprise-only</t>
        </is>
      </c>
      <c r="D7" s="5" t="inlineStr">
        <is>
          <t>✅ REST + webhooks + SDKs (all tiers)</t>
        </is>
      </c>
      <c r="E7" s="5" t="inlineStr">
        <is>
          <t>✅ it *is* an API</t>
        </is>
      </c>
    </row>
    <row r="8">
      <c r="A8" s="6" t="inlineStr">
        <is>
          <t>Speaker diarization</t>
        </is>
      </c>
      <c r="B8" s="7" t="inlineStr">
        <is>
          <t>✅</t>
        </is>
      </c>
      <c r="C8" s="7" t="inlineStr">
        <is>
          <t>✅</t>
        </is>
      </c>
      <c r="D8" s="7" t="inlineStr">
        <is>
          <t>✅</t>
        </is>
      </c>
      <c r="E8" s="7" t="inlineStr">
        <is>
          <t>✅ best (separate audio per speaker)</t>
        </is>
      </c>
    </row>
    <row r="9">
      <c r="A9" s="4" t="inlineStr">
        <is>
          <t>Feeds Emerald webhook</t>
        </is>
      </c>
      <c r="B9" s="5" t="inlineStr">
        <is>
          <t>✅ easy</t>
        </is>
      </c>
      <c r="C9" s="5" t="inlineStr">
        <is>
          <t>⚠️ Enterprise / S3 poll</t>
        </is>
      </c>
      <c r="D9" s="5" t="inlineStr">
        <is>
          <t>✅ easy</t>
        </is>
      </c>
      <c r="E9" s="5" t="inlineStr">
        <is>
          <t>✅ easy</t>
        </is>
      </c>
    </row>
    <row r="10">
      <c r="A10" s="6" t="inlineStr">
        <is>
          <t>Best for</t>
        </is>
      </c>
      <c r="B10" s="7" t="inlineStr">
        <is>
          <t>Both cell + Zoom, automatable</t>
        </is>
      </c>
      <c r="C10" s="7" t="inlineStr">
        <is>
          <t>Teams already on Otter</t>
        </is>
      </c>
      <c r="D10" s="7" t="inlineStr">
        <is>
          <t>Zoom-only, low cost, clean API</t>
        </is>
      </c>
      <c r="E10" s="7" t="inlineStr">
        <is>
          <t>Building our own notetaker at scale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6" customWidth="1" min="4" max="4"/>
    <col width="18" customWidth="1" min="5" max="5"/>
    <col width="24" customWidth="1" min="6" max="6"/>
  </cols>
  <sheetData>
    <row r="1">
      <c r="A1" s="1" t="inlineStr">
        <is>
          <t>Pricing — per seat (per user / month, annual billing)</t>
        </is>
      </c>
    </row>
    <row r="2">
      <c r="A2" s="2" t="inlineStr">
        <is>
          <t>Vendor-reported mid-2026 — verify the tier that includes transcript export + webhooks.</t>
        </is>
      </c>
    </row>
    <row r="4">
      <c r="A4" s="3" t="inlineStr">
        <is>
          <t>Tool</t>
        </is>
      </c>
      <c r="B4" s="3" t="inlineStr">
        <is>
          <t>Free</t>
        </is>
      </c>
      <c r="C4" s="3" t="inlineStr">
        <is>
          <t>Entry ($/mo)</t>
        </is>
      </c>
      <c r="D4" s="3" t="inlineStr">
        <is>
          <t>Business ($/mo)</t>
        </is>
      </c>
      <c r="E4" s="3" t="inlineStr">
        <is>
          <t>Top ($/mo)</t>
        </is>
      </c>
      <c r="F4" s="3" t="inlineStr">
        <is>
          <t>API available on</t>
        </is>
      </c>
    </row>
    <row r="5">
      <c r="A5" s="4" t="inlineStr">
        <is>
          <t>Fireflies.ai</t>
        </is>
      </c>
      <c r="B5" s="4" t="inlineStr">
        <is>
          <t>$0</t>
        </is>
      </c>
      <c r="C5" s="17" t="n">
        <v>10</v>
      </c>
      <c r="D5" s="17" t="n">
        <v>19</v>
      </c>
      <c r="E5" s="17" t="n">
        <v>39</v>
      </c>
      <c r="F5" s="4" t="inlineStr">
        <is>
          <t>paid tiers ✅</t>
        </is>
      </c>
    </row>
    <row r="6">
      <c r="A6" s="6" t="inlineStr">
        <is>
          <t>Otter.ai</t>
        </is>
      </c>
      <c r="B6" s="6" t="inlineStr">
        <is>
          <t>$0</t>
        </is>
      </c>
      <c r="C6" s="18" t="n">
        <v>8.33</v>
      </c>
      <c r="D6" s="18" t="n">
        <v>19.99</v>
      </c>
      <c r="E6" s="6" t="inlineStr">
        <is>
          <t>Enterprise (custom)</t>
        </is>
      </c>
      <c r="F6" s="6" t="inlineStr">
        <is>
          <t>Enterprise only ⚠️</t>
        </is>
      </c>
    </row>
    <row r="7">
      <c r="A7" s="4" t="inlineStr">
        <is>
          <t>Fathom</t>
        </is>
      </c>
      <c r="B7" s="4" t="inlineStr">
        <is>
          <t>$0</t>
        </is>
      </c>
      <c r="C7" s="17" t="n">
        <v>15</v>
      </c>
      <c r="D7" s="17" t="n">
        <v>19</v>
      </c>
      <c r="E7" s="17" t="n">
        <v>29</v>
      </c>
      <c r="F7" s="4" t="inlineStr">
        <is>
          <t>all tiers (incl. free) ✅</t>
        </is>
      </c>
    </row>
    <row r="8">
      <c r="A8" s="6" t="inlineStr">
        <is>
          <t>Ringover (cell dialer)</t>
        </is>
      </c>
      <c r="B8" s="6" t="inlineStr">
        <is>
          <t>—</t>
        </is>
      </c>
      <c r="C8" s="18" t="n">
        <v>21</v>
      </c>
      <c r="D8" s="18" t="n">
        <v>44</v>
      </c>
      <c r="E8" s="6" t="inlineStr">
        <is>
          <t>64 / custom</t>
        </is>
      </c>
      <c r="F8" s="6" t="inlineStr">
        <is>
          <t>native Loxo integration</t>
        </is>
      </c>
    </row>
    <row r="10">
      <c r="A10" s="2" t="inlineStr">
        <is>
          <t>Note: lower Fireflies/Otter tiers meter 'AI credits'; we only need the raw transcript.</t>
        </is>
      </c>
    </row>
  </sheetData>
  <mergeCells count="3">
    <mergeCell ref="A2:F2"/>
    <mergeCell ref="A1:F1"/>
    <mergeCell ref="A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2" customWidth="1" min="3" max="3"/>
    <col width="44" customWidth="1" min="4" max="4"/>
  </cols>
  <sheetData>
    <row r="1">
      <c r="A1" s="1" t="inlineStr">
        <is>
          <t>Pricing — usage-based (build-your-own / telephony)</t>
        </is>
      </c>
    </row>
    <row r="2">
      <c r="A2" s="2" t="inlineStr">
        <is>
          <t>For the headless path. Rates vendor-reported mid-2026.</t>
        </is>
      </c>
    </row>
    <row r="4">
      <c r="A4" s="3" t="inlineStr">
        <is>
          <t>Service</t>
        </is>
      </c>
      <c r="B4" s="3" t="inlineStr">
        <is>
          <t>Unit</t>
        </is>
      </c>
      <c r="C4" s="3" t="inlineStr">
        <is>
          <t>Rate ($)</t>
        </is>
      </c>
      <c r="D4" s="3" t="inlineStr">
        <is>
          <t>Notes</t>
        </is>
      </c>
    </row>
    <row r="5">
      <c r="A5" s="4" t="inlineStr">
        <is>
          <t>Recall.ai — recording</t>
        </is>
      </c>
      <c r="B5" s="4" t="inlineStr">
        <is>
          <t>per recording-hr</t>
        </is>
      </c>
      <c r="C5" s="19" t="n">
        <v>0.5</v>
      </c>
      <c r="D5" s="4" t="inlineStr">
        <is>
          <t>No platform fee; prorated to the second; Calendar API free</t>
        </is>
      </c>
    </row>
    <row r="6">
      <c r="A6" s="6" t="inlineStr">
        <is>
          <t>Recall.ai — transcription</t>
        </is>
      </c>
      <c r="B6" s="6" t="inlineStr">
        <is>
          <t>per hr</t>
        </is>
      </c>
      <c r="C6" s="20" t="n">
        <v>0.15</v>
      </c>
      <c r="D6" s="6" t="inlineStr">
        <is>
          <t>Add-on to recording</t>
        </is>
      </c>
    </row>
    <row r="7">
      <c r="A7" s="4" t="inlineStr">
        <is>
          <t>Deepgram (STT)</t>
        </is>
      </c>
      <c r="B7" s="4" t="inlineStr">
        <is>
          <t>per hr</t>
        </is>
      </c>
      <c r="C7" s="19" t="n">
        <v>0.26</v>
      </c>
      <c r="D7" s="4" t="inlineStr">
        <is>
          <t>Cheapest for pure transcription</t>
        </is>
      </c>
    </row>
    <row r="8">
      <c r="A8" s="6" t="inlineStr">
        <is>
          <t>AssemblyAI (STT)</t>
        </is>
      </c>
      <c r="B8" s="6" t="inlineStr">
        <is>
          <t>per hr</t>
        </is>
      </c>
      <c r="C8" s="20" t="n">
        <v>0.37</v>
      </c>
      <c r="D8" s="6" t="inlineStr">
        <is>
          <t>Cheaper speaker-ID + PII redaction features</t>
        </is>
      </c>
    </row>
    <row r="9">
      <c r="A9" s="4" t="inlineStr">
        <is>
          <t>AssemblyAI — batch (STT)</t>
        </is>
      </c>
      <c r="B9" s="4" t="inlineStr">
        <is>
          <t>per hr</t>
        </is>
      </c>
      <c r="C9" s="19" t="n">
        <v>0.15</v>
      </c>
      <c r="D9" s="4" t="inlineStr">
        <is>
          <t>Budget option</t>
        </is>
      </c>
    </row>
    <row r="10">
      <c r="A10" s="6" t="inlineStr">
        <is>
          <t>Twilio — voice (US)</t>
        </is>
      </c>
      <c r="B10" s="6" t="inlineStr">
        <is>
          <t>per min</t>
        </is>
      </c>
      <c r="C10" s="20" t="n">
        <v>0.014</v>
      </c>
      <c r="D10" s="6" t="inlineStr">
        <is>
          <t>Outbound; inbound ~$0.013</t>
        </is>
      </c>
    </row>
    <row r="11">
      <c r="A11" s="4" t="inlineStr">
        <is>
          <t>Twilio — recording</t>
        </is>
      </c>
      <c r="B11" s="4" t="inlineStr">
        <is>
          <t>per min</t>
        </is>
      </c>
      <c r="C11" s="19" t="n">
        <v>0.0025</v>
      </c>
      <c r="D11" s="4" t="inlineStr">
        <is>
          <t>+ storage $0.0025/min (first 10k min free)</t>
        </is>
      </c>
    </row>
    <row r="12">
      <c r="A12" s="6" t="inlineStr">
        <is>
          <t>Twilio — transcription</t>
        </is>
      </c>
      <c r="B12" s="6" t="inlineStr">
        <is>
          <t>per min</t>
        </is>
      </c>
      <c r="C12" s="20" t="n">
        <v>0.05</v>
      </c>
      <c r="D12" s="6" t="inlineStr">
        <is>
          <t>Use Deepgram/AssemblyAI instead to save ~7–10×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46" customWidth="1" min="3" max="3"/>
  </cols>
  <sheetData>
    <row r="1">
      <c r="A1" s="1" t="inlineStr">
        <is>
          <t>Cost scenario — monthly (live formulas)</t>
        </is>
      </c>
    </row>
    <row r="2">
      <c r="A2" s="2" t="inlineStr">
        <is>
          <t>Blue = editable assumptions/rates. Monthly costs recompute automatically.</t>
        </is>
      </c>
    </row>
    <row r="4">
      <c r="A4" s="8" t="inlineStr">
        <is>
          <t>Assumptions</t>
        </is>
      </c>
    </row>
    <row r="5">
      <c r="A5" s="9" t="inlineStr">
        <is>
          <t>Recruiters (seats)</t>
        </is>
      </c>
      <c r="B5" s="21" t="n">
        <v>5</v>
      </c>
    </row>
    <row r="6">
      <c r="A6" s="9" t="inlineStr">
        <is>
          <t>Calls per recruiter / month</t>
        </is>
      </c>
      <c r="B6" s="21" t="n">
        <v>40</v>
      </c>
    </row>
    <row r="7">
      <c r="A7" s="9" t="inlineStr">
        <is>
          <t>Avg call length (min)</t>
        </is>
      </c>
      <c r="B7" s="21" t="n">
        <v>30</v>
      </c>
    </row>
    <row r="8">
      <c r="A8" s="9" t="inlineStr">
        <is>
          <t>Total recording hours / month</t>
        </is>
      </c>
      <c r="B8" s="22">
        <f>B5*B6*B7/60</f>
        <v/>
      </c>
    </row>
    <row r="9">
      <c r="A9" s="9" t="inlineStr">
        <is>
          <t>Total minutes / month</t>
        </is>
      </c>
      <c r="B9" s="22">
        <f>B5*B6*B7</f>
        <v/>
      </c>
    </row>
    <row r="11">
      <c r="A11" s="8" t="inlineStr">
        <is>
          <t>Per-unit rates</t>
        </is>
      </c>
    </row>
    <row r="12">
      <c r="A12" s="9" t="inlineStr">
        <is>
          <t>Fireflies Business ($/seat/mo)</t>
        </is>
      </c>
      <c r="B12" s="23" t="n">
        <v>19</v>
      </c>
    </row>
    <row r="13">
      <c r="A13" s="9" t="inlineStr">
        <is>
          <t>Ringover Smart ($/seat/mo)</t>
        </is>
      </c>
      <c r="B13" s="23" t="n">
        <v>21</v>
      </c>
    </row>
    <row r="14">
      <c r="A14" s="9" t="inlineStr">
        <is>
          <t>Fathom Premium ($/seat/mo)</t>
        </is>
      </c>
      <c r="B14" s="23" t="n">
        <v>15</v>
      </c>
    </row>
    <row r="15">
      <c r="A15" s="9" t="inlineStr">
        <is>
          <t>Otter Business ($/seat/mo)</t>
        </is>
      </c>
      <c r="B15" s="23" t="n">
        <v>19.99</v>
      </c>
    </row>
    <row r="16">
      <c r="A16" s="9" t="inlineStr">
        <is>
          <t>Recall.ai ($/rec-hr incl. transcription)</t>
        </is>
      </c>
      <c r="B16" s="23" t="n">
        <v>0.65</v>
      </c>
    </row>
    <row r="17">
      <c r="A17" s="9" t="inlineStr">
        <is>
          <t>Twilio voice+recording ($/min)</t>
        </is>
      </c>
      <c r="B17" s="24" t="n">
        <v>0.0165</v>
      </c>
    </row>
    <row r="18">
      <c r="A18" s="9" t="inlineStr">
        <is>
          <t>STT — AssemblyAI ($/hr)</t>
        </is>
      </c>
      <c r="B18" s="23" t="n">
        <v>0.37</v>
      </c>
    </row>
    <row r="20">
      <c r="A20" s="25" t="inlineStr">
        <is>
          <t>Option</t>
        </is>
      </c>
      <c r="B20" s="25" t="inlineStr">
        <is>
          <t>Monthly cost</t>
        </is>
      </c>
      <c r="C20" s="25" t="inlineStr">
        <is>
          <t>Covers</t>
        </is>
      </c>
    </row>
    <row r="21">
      <c r="A21" s="10" t="inlineStr">
        <is>
          <t>Fireflies Business</t>
        </is>
      </c>
      <c r="B21" s="26">
        <f>B12*B5</f>
        <v/>
      </c>
      <c r="C21" s="5" t="inlineStr">
        <is>
          <t>Zoom + phone (dialer) + webhook → Emerald</t>
        </is>
      </c>
    </row>
    <row r="22">
      <c r="A22" s="27" t="inlineStr">
        <is>
          <t>Ringover Smart (cell)</t>
        </is>
      </c>
      <c r="B22" s="28">
        <f>B13*B5</f>
        <v/>
      </c>
      <c r="C22" s="7" t="inlineStr">
        <is>
          <t>Recordable cell intake that lands in Loxo</t>
        </is>
      </c>
    </row>
    <row r="23">
      <c r="A23" s="10" t="inlineStr">
        <is>
          <t>Fathom Premium</t>
        </is>
      </c>
      <c r="B23" s="26">
        <f>B14*B5</f>
        <v/>
      </c>
      <c r="C23" s="5" t="inlineStr">
        <is>
          <t>Zoom only — no cell</t>
        </is>
      </c>
    </row>
    <row r="24">
      <c r="A24" s="27" t="inlineStr">
        <is>
          <t>Otter Business</t>
        </is>
      </c>
      <c r="B24" s="28">
        <f>B15*B5</f>
        <v/>
      </c>
      <c r="C24" s="7" t="inlineStr">
        <is>
          <t>Similar cost, but API needs Enterprise</t>
        </is>
      </c>
    </row>
    <row r="25">
      <c r="A25" s="10" t="inlineStr">
        <is>
          <t>Recall.ai (usage)</t>
        </is>
      </c>
      <c r="B25" s="26">
        <f>B16*B8</f>
        <v/>
      </c>
      <c r="C25" s="5" t="inlineStr">
        <is>
          <t>Zoom capture; you build the integration</t>
        </is>
      </c>
    </row>
    <row r="26">
      <c r="A26" s="27" t="inlineStr">
        <is>
          <t>Twilio + AssemblyAI (usage)</t>
        </is>
      </c>
      <c r="B26" s="28">
        <f>B17*B9+B18*B8</f>
        <v/>
      </c>
      <c r="C26" s="7" t="inlineStr">
        <is>
          <t>Fully programmatic cell; you build it</t>
        </is>
      </c>
    </row>
    <row r="28">
      <c r="A28" s="13" t="inlineStr">
        <is>
          <t>RECOMMENDED: Fireflies + Ringover</t>
        </is>
      </c>
      <c r="B28" s="29">
        <f>B21+B22</f>
        <v/>
      </c>
      <c r="C28" s="13" t="inlineStr">
        <is>
          <t>All-in for the team — cell + Zoom + automation, no engineering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Sourcing / contact-data tools (memo Part 1)</t>
        </is>
      </c>
    </row>
    <row r="2">
      <c r="A2" s="2" t="inlineStr">
        <is>
          <t>Capture layer's upstream companion — system-of-record sourcing.</t>
        </is>
      </c>
    </row>
    <row r="4">
      <c r="A4" s="3" t="n"/>
      <c r="B4" s="3" t="n"/>
      <c r="C4" s="3" t="n"/>
      <c r="D4" s="3" t="n"/>
    </row>
    <row r="5">
      <c r="A5" s="4" t="inlineStr">
        <is>
          <t>Built for</t>
        </is>
      </c>
      <c r="B5" s="5" t="inlineStr">
        <is>
          <t>Recruiting / candidate sourcing</t>
        </is>
      </c>
      <c r="C5" s="5" t="inlineStr">
        <is>
          <t>B2B sales prospecting</t>
        </is>
      </c>
      <c r="D5" s="5" t="inlineStr">
        <is>
          <t>Consumer people lookup</t>
        </is>
      </c>
    </row>
    <row r="6">
      <c r="A6" s="6" t="inlineStr">
        <is>
          <t>Database size</t>
        </is>
      </c>
      <c r="B6" s="7" t="inlineStr">
        <is>
          <t>~1.2B people, 12M companies</t>
        </is>
      </c>
      <c r="C6" s="7" t="inlineStr">
        <is>
          <t>~1.3B contacts, 1.8B emails, 414M mobile</t>
        </is>
      </c>
      <c r="D6" s="7" t="inlineStr">
        <is>
          <t>"Nearly every US adult" (public records)</t>
        </is>
      </c>
    </row>
    <row r="7">
      <c r="A7" s="4" t="inlineStr">
        <is>
          <t>Search method</t>
        </is>
      </c>
      <c r="B7" s="5" t="inlineStr">
        <is>
          <t>Boolean + filters + AI best-fit matching</t>
        </is>
      </c>
      <c r="C7" s="5" t="inlineStr">
        <is>
          <t>Real-time search engine, filter-based</t>
        </is>
      </c>
      <c r="D7" s="5" t="inlineStr">
        <is>
          <t>Name / phone / address lookup</t>
        </is>
      </c>
    </row>
    <row r="8">
      <c r="A8" s="6" t="inlineStr">
        <is>
          <t>Outreach built in</t>
        </is>
      </c>
      <c r="B8" s="7" t="inlineStr">
        <is>
          <t>Yes — multi-channel sequences in-platform</t>
        </is>
      </c>
      <c r="C8" s="7" t="inlineStr">
        <is>
          <t>Limited (AI writer add-on)</t>
        </is>
      </c>
      <c r="D8" s="7" t="inlineStr">
        <is>
          <t>None</t>
        </is>
      </c>
    </row>
    <row r="9">
      <c r="A9" s="4" t="inlineStr">
        <is>
          <t>ATS / CRM fit</t>
        </is>
      </c>
      <c r="B9" s="5" t="inlineStr">
        <is>
          <t>Native unified ATS + CRM + sourcing</t>
        </is>
      </c>
      <c r="C9" s="5" t="inlineStr">
        <is>
          <t>Integrates w/ Salesforce, HubSpot</t>
        </is>
      </c>
      <c r="D9" s="5" t="inlineStr">
        <is>
          <t>None</t>
        </is>
      </c>
    </row>
    <row r="10">
      <c r="A10" s="6" t="inlineStr">
        <is>
          <t>Recruiting-legal use (FCRA)</t>
        </is>
      </c>
      <c r="B10" s="7" t="inlineStr">
        <is>
          <t>Yes — built for it</t>
        </is>
      </c>
      <c r="C10" s="7" t="inlineStr">
        <is>
          <t>Yes (B2B contact data)</t>
        </is>
      </c>
      <c r="D10" s="7" t="inlineStr">
        <is>
          <t>No — prohibited for employment screening</t>
        </is>
      </c>
    </row>
    <row r="11">
      <c r="A11" s="4" t="inlineStr">
        <is>
          <t>Geographic strength</t>
        </is>
      </c>
      <c r="B11" s="5" t="inlineStr">
        <is>
          <t>Global</t>
        </is>
      </c>
      <c r="C11" s="5" t="inlineStr">
        <is>
          <t>US-strongest; weaker international</t>
        </is>
      </c>
      <c r="D11" s="5" t="inlineStr">
        <is>
          <t>US only</t>
        </is>
      </c>
    </row>
    <row r="12">
      <c r="A12" s="6" t="inlineStr">
        <is>
          <t>Pricing model</t>
        </is>
      </c>
      <c r="B12" s="7" t="inlineStr">
        <is>
          <t>Quote-based; basic ~$169/mo</t>
        </is>
      </c>
      <c r="C12" s="7" t="inlineStr">
        <is>
          <t>Credit-metered (contact sales)</t>
        </is>
      </c>
      <c r="D12" s="7" t="inlineStr">
        <is>
          <t>Free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72" customWidth="1" min="2" max="2"/>
    <col width="16" customWidth="1" min="3" max="3"/>
    <col width="16" customWidth="1" min="4" max="4"/>
  </cols>
  <sheetData>
    <row r="1">
      <c r="A1" s="1" t="inlineStr">
        <is>
          <t>Recommended stack &amp; 30-day rollout</t>
        </is>
      </c>
    </row>
    <row r="2">
      <c r="A2" s="2" t="inlineStr">
        <is>
          <t>Buy Fireflies (Business) + Ringover. Fill Owner/Status as you go.</t>
        </is>
      </c>
    </row>
    <row r="4">
      <c r="A4" s="3" t="n"/>
      <c r="B4" s="3" t="n"/>
      <c r="C4" s="3" t="n"/>
      <c r="D4" s="3" t="n"/>
    </row>
    <row r="5">
      <c r="A5" s="4" t="inlineStr">
        <is>
          <t>1</t>
        </is>
      </c>
      <c r="B5" s="5" t="inlineStr">
        <is>
          <t>Procure &amp; verify: confirm Fireflies Business returns the FULL transcript via webhook + supports our dialer; confirm per-state recording-consent rules.</t>
        </is>
      </c>
      <c r="C5" s="30" t="inlineStr"/>
      <c r="D5" s="30" t="inlineStr"/>
    </row>
    <row r="6">
      <c r="A6" s="6" t="inlineStr">
        <is>
          <t>1–2</t>
        </is>
      </c>
      <c r="B6" s="7" t="inlineStr">
        <is>
          <t>Connect capture: install Fireflies notetaker for Zoom; connect Ringover as the cell dialer and link to Loxo.</t>
        </is>
      </c>
      <c r="C6" s="30" t="inlineStr"/>
      <c r="D6" s="30" t="inlineStr"/>
    </row>
    <row r="7">
      <c r="A7" s="4" t="inlineStr">
        <is>
          <t>2</t>
        </is>
      </c>
      <c r="B7" s="5" t="inlineStr">
        <is>
          <t>Wire the webhook: point Fireflies 'transcription complete' at Emerald POST /webhook/transcript; map payload in extract_transcript().</t>
        </is>
      </c>
      <c r="C7" s="30" t="inlineStr"/>
      <c r="D7" s="30" t="inlineStr"/>
    </row>
    <row r="8">
      <c r="A8" s="6" t="inlineStr">
        <is>
          <t>3</t>
        </is>
      </c>
      <c r="B8" s="7" t="inlineStr">
        <is>
          <t>Pilot: run 5–10 real intake calls (Zoom + cell) end-to-end → JD/ad copy/outreach/Booleans in Loxo; spot-check transcript + anonymization.</t>
        </is>
      </c>
      <c r="C8" s="30" t="inlineStr"/>
      <c r="D8" s="30" t="inlineStr"/>
    </row>
    <row r="9">
      <c r="A9" s="4" t="inlineStr">
        <is>
          <t>4</t>
        </is>
      </c>
      <c r="B9" s="5" t="inlineStr">
        <is>
          <t>Decide &amp; scale: roll out to all recruiters if quality holds; revisit Recall.ai / Twilio only for uniform format or fully headless cell.</t>
        </is>
      </c>
      <c r="C9" s="30" t="inlineStr"/>
      <c r="D9" s="30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2026-06-16T09:18:50Z</dcterms:created>
  <dcterms:modified xsi:type="dcterms:W3CDTF">2026-06-16T09:18:50Z</dcterms:modified>
</cp:coreProperties>
</file>